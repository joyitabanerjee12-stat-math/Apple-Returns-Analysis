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yita Banerjee\Downloads\"/>
    </mc:Choice>
  </mc:AlternateContent>
  <xr:revisionPtr revIDLastSave="0" documentId="8_{3DFD7F52-07C2-478A-A6A7-44EA3F7599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Instructions" sheetId="2" r:id="rId2"/>
    <sheet name="TTest_ANOVA_Formulas" sheetId="3" r:id="rId3"/>
  </sheets>
  <definedNames>
    <definedName name="_xlchart.v1.0" hidden="1">Sheet1!$E$2:$E$40</definedName>
    <definedName name="_xlchart.v1.1" hidden="1">Sheet1!$E$2:$E$40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I8" i="1" s="1" a="1"/>
  <c r="I8" i="1" s="1"/>
  <c r="F5" i="1"/>
  <c r="F6" i="1"/>
  <c r="F7" i="1"/>
  <c r="F8" i="1"/>
  <c r="F9" i="1"/>
  <c r="F10" i="1"/>
  <c r="I4" i="1" s="1" a="1"/>
  <c r="I4" i="1" s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J12" i="1" s="1" a="1"/>
  <c r="J12" i="1" s="1"/>
  <c r="G36" i="1"/>
  <c r="G35" i="1"/>
  <c r="G34" i="1" a="1"/>
  <c r="G34" i="1" s="1"/>
  <c r="G33" i="1" a="1"/>
  <c r="G33" i="1" s="1"/>
  <c r="G31" i="1"/>
  <c r="G32" i="1"/>
  <c r="J5" i="1" l="1" a="1"/>
  <c r="J5" i="1" s="1"/>
  <c r="G38" i="1"/>
  <c r="I5" i="1" a="1"/>
  <c r="I5" i="1" s="1"/>
  <c r="J6" i="1" a="1"/>
  <c r="J6" i="1" s="1"/>
  <c r="J11" i="1" a="1"/>
  <c r="J11" i="1" s="1"/>
  <c r="J20" i="1" a="1"/>
  <c r="J20" i="1" s="1"/>
  <c r="I3" i="1" a="1"/>
  <c r="I3" i="1" s="1"/>
  <c r="J4" i="1" a="1"/>
  <c r="J4" i="1" s="1"/>
  <c r="J19" i="1" a="1"/>
  <c r="J19" i="1" s="1"/>
  <c r="I10" i="1" a="1"/>
  <c r="I10" i="1" s="1"/>
  <c r="J2" i="1" a="1"/>
  <c r="J2" i="1" s="1"/>
  <c r="J3" i="1" a="1"/>
  <c r="J3" i="1" s="1"/>
  <c r="J18" i="1" a="1"/>
  <c r="J18" i="1" s="1"/>
  <c r="I2" i="1" a="1"/>
  <c r="I2" i="1" s="1"/>
  <c r="I9" i="1" a="1"/>
  <c r="I9" i="1" s="1"/>
  <c r="J10" i="1" a="1"/>
  <c r="J10" i="1" s="1"/>
  <c r="J15" i="1" a="1"/>
  <c r="J15" i="1" s="1"/>
  <c r="J17" i="1" a="1"/>
  <c r="J17" i="1" s="1"/>
  <c r="J9" i="1" a="1"/>
  <c r="J9" i="1" s="1"/>
  <c r="J14" i="1" a="1"/>
  <c r="J14" i="1" s="1"/>
  <c r="J16" i="1" a="1"/>
  <c r="J16" i="1" s="1"/>
  <c r="I7" i="1" a="1"/>
  <c r="I7" i="1" s="1"/>
  <c r="J8" i="1" a="1"/>
  <c r="J8" i="1" s="1"/>
  <c r="J13" i="1" a="1"/>
  <c r="J13" i="1" s="1"/>
  <c r="J21" i="1" a="1"/>
  <c r="J21" i="1" s="1"/>
  <c r="I6" i="1" a="1"/>
  <c r="I6" i="1" s="1"/>
  <c r="J7" i="1" a="1"/>
  <c r="J7" i="1" s="1"/>
  <c r="G37" i="1"/>
  <c r="G39" i="1" s="1"/>
  <c r="K15" i="1" l="1"/>
  <c r="K7" i="1"/>
  <c r="K6" i="1"/>
  <c r="K4" i="1"/>
  <c r="K5" i="1" s="1"/>
  <c r="K8" i="1" s="1"/>
  <c r="K3" i="1"/>
  <c r="L3" i="1"/>
  <c r="K2" i="1"/>
  <c r="L2" i="1"/>
  <c r="K9" i="1" l="1"/>
  <c r="K10" i="1" s="1"/>
  <c r="K11" i="1" s="1"/>
  <c r="K12" i="1" s="1"/>
  <c r="K1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<sst xmlns="http://schemas.openxmlformats.org/spreadsheetml/2006/main" count="148" uniqueCount="91">
  <si>
    <t>Date</t>
  </si>
  <si>
    <t>SP500_Close</t>
  </si>
  <si>
    <t>Apple_Close</t>
  </si>
  <si>
    <t>SP500_Return</t>
  </si>
  <si>
    <t>Apple_Return</t>
  </si>
  <si>
    <t>SP500_Direction</t>
  </si>
  <si>
    <t>SP500_Group</t>
  </si>
  <si>
    <t>Up</t>
  </si>
  <si>
    <t>Neutral</t>
  </si>
  <si>
    <t>Down</t>
  </si>
  <si>
    <t>STA 580 Stock Market Project Instructions:</t>
  </si>
  <si>
    <t>1. Data Preparation:</t>
  </si>
  <si>
    <t xml:space="preserve">   - Replace 'SP500_Close' and 'Apple_Close' columns with real stock prices if available.</t>
  </si>
  <si>
    <t xml:space="preserve">   - Ensure 'Date' column matches trading days.</t>
  </si>
  <si>
    <t>2. Daily Returns:</t>
  </si>
  <si>
    <t xml:space="preserve">   - Column 'SP500_Return' and 'Apple_Return' are calculated as: (Price_t - Price_{t-1}) / Price_{t-1}</t>
  </si>
  <si>
    <t>3. Grouping:</t>
  </si>
  <si>
    <t xml:space="preserve">   - Column 'SP500_Direction': Up if SP500_Return &gt;=0, Down if &lt;0 (for t-test).</t>
  </si>
  <si>
    <t xml:space="preserve">   - Column 'SP500_Group': Up if &gt;=0.01, Down if &lt;=-0.01, Neutral otherwise (for ANOVA).</t>
  </si>
  <si>
    <t>4. Two-Sample t-Test (Excel):</t>
  </si>
  <si>
    <t xml:space="preserve">   - Go to Data -&gt; Data Analysis -&gt; t-Test: Two-Sample Assuming Unequal Variances.</t>
  </si>
  <si>
    <t xml:space="preserve">   - Input Variable 1: Apple_Return for SP500 'Up' days (filter Column F).</t>
  </si>
  <si>
    <t xml:space="preserve">   - Input Variable 2: Apple_Return for SP500 'Down' days (filter Column F).</t>
  </si>
  <si>
    <t xml:space="preserve">   - Output Range: select empty cells.</t>
  </si>
  <si>
    <t xml:space="preserve">   - Check p-value: p&lt;0.05 -&gt; significant difference, p&gt;0.05 -&gt; not significant.</t>
  </si>
  <si>
    <t>5. ANOVA (Optional):</t>
  </si>
  <si>
    <t xml:space="preserve">   - Use Column 'SP500_Group' with 3 groups (Down / Neutral / Up).</t>
  </si>
  <si>
    <t xml:space="preserve">   - Data -&gt; Data Analysis -&gt; ANOVA: Single Factor.</t>
  </si>
  <si>
    <t xml:space="preserve">   - Check p-value, F-statistic.</t>
  </si>
  <si>
    <t>6. Visualization:</t>
  </si>
  <si>
    <t xml:space="preserve">   - Scatter Plot: SP500_Return vs Apple_Return (Insert -&gt; Scatter).</t>
  </si>
  <si>
    <t xml:space="preserve">   - Boxplot/Column Chart: Apple_Return grouped by SP500_Direction (Insert -&gt; Box &amp; Whisker).</t>
  </si>
  <si>
    <t>7. Report:</t>
  </si>
  <si>
    <t xml:space="preserve">   - 1-2 pages summarizing dataset, question, methods, results, and conclusion.</t>
  </si>
  <si>
    <t>8. Optional Enhancements:</t>
  </si>
  <si>
    <t xml:space="preserve">   - Compare multiple stocks, use weekly/monthly returns, or add lagged returns.</t>
  </si>
  <si>
    <t>STA 580 Stock Project - t-Test and ANOVA Formulas (No Data Analysis ToolPak Needed)</t>
  </si>
  <si>
    <t>Two-Sample t-Test (Welch t-test for unequal variance):</t>
  </si>
  <si>
    <t>1. Compute group means:</t>
  </si>
  <si>
    <t xml:space="preserve">   Up days mean: =AVERAGE(range_up)</t>
  </si>
  <si>
    <t xml:space="preserve">   Down days mean: =AVERAGE(range_down)</t>
  </si>
  <si>
    <t>2. Compute group variances:</t>
  </si>
  <si>
    <t xml:space="preserve">   Up days variance: =VAR.S(range_up)</t>
  </si>
  <si>
    <t xml:space="preserve">   Down days variance: =VAR.S(range_down)</t>
  </si>
  <si>
    <t>3. Count observations:</t>
  </si>
  <si>
    <t xml:space="preserve">   n_up = COUNT(range_up)</t>
  </si>
  <si>
    <t xml:space="preserve">   n_down = COUNT(range_down)</t>
  </si>
  <si>
    <t>4. Compute t-statistic:</t>
  </si>
  <si>
    <t xml:space="preserve">   =(mean_up - mean_down)/SQRT(var_up/n_up + var_down/n_down)</t>
  </si>
  <si>
    <t>5. Compute degrees of freedom:</t>
  </si>
  <si>
    <t xml:space="preserve">   =(var_up/n_up + var_down/n_down)^2 / ((var_up^2)/(n_up^2*(n_up-1)) + (var_down^2)/(n_down^2*(n_down-1)))</t>
  </si>
  <si>
    <t>6. Compute two-tailed p-value:</t>
  </si>
  <si>
    <t xml:space="preserve">   =2*(1-T.DIST.RT(ABS(t_stat), df))</t>
  </si>
  <si>
    <t>One-Way ANOVA (3 groups: Down / Neutral / Up):</t>
  </si>
  <si>
    <t>1. Compute overall mean: =AVERAGE(E2:E31)</t>
  </si>
  <si>
    <t>2. Compute group means using AVERAGEIF, e.g., =AVERAGEIF(G2:G31,"Up",E2:E31)</t>
  </si>
  <si>
    <t>3. Compute SSB (Sum of Squares Between):</t>
  </si>
  <si>
    <t xml:space="preserve">   =n_i*(mean_i - overall_mean)^2 for each group, sum them</t>
  </si>
  <si>
    <t>4. Compute SSW (Sum of Squares Within):</t>
  </si>
  <si>
    <t xml:space="preserve">   =(x_ij - mean_i)^2 for each observation, sum all</t>
  </si>
  <si>
    <t>5. Compute Mean Squares: MSB = SSB/(k-1), MSW = SSW/(N-k)</t>
  </si>
  <si>
    <t>6. Compute F-statistic: F = MSB/MSW</t>
  </si>
  <si>
    <t>7. Compute p-value: =1 - F.DIST(F_stat, k-1, N-k, TRUE)</t>
  </si>
  <si>
    <t>Avg Range Up</t>
  </si>
  <si>
    <t>Avg Range Down</t>
  </si>
  <si>
    <t>Var up</t>
  </si>
  <si>
    <t>Var down</t>
  </si>
  <si>
    <t>count up</t>
  </si>
  <si>
    <t>Count Down</t>
  </si>
  <si>
    <t>t-statistics</t>
  </si>
  <si>
    <t>df</t>
  </si>
  <si>
    <t>two-tailed p value</t>
  </si>
  <si>
    <t>&gt;0.05</t>
  </si>
  <si>
    <r>
      <t xml:space="preserve">Apple returns </t>
    </r>
    <r>
      <rPr>
        <b/>
        <sz val="11"/>
        <color theme="1"/>
        <rFont val="Calibri"/>
        <family val="2"/>
        <scheme val="minor"/>
      </rPr>
      <t>do not differ significantly</t>
    </r>
    <r>
      <rPr>
        <sz val="11"/>
        <color theme="1"/>
        <rFont val="Calibri"/>
        <family val="2"/>
        <scheme val="minor"/>
      </rPr>
      <t xml:space="preserve"> between Up and Down SP500 days in this example.</t>
    </r>
  </si>
  <si>
    <t>Apple_Group</t>
  </si>
  <si>
    <t>down</t>
  </si>
  <si>
    <t>up</t>
  </si>
  <si>
    <t>Overall mean</t>
  </si>
  <si>
    <t>SSB</t>
  </si>
  <si>
    <t>MSB</t>
  </si>
  <si>
    <t>Squared deviation from mean for down</t>
  </si>
  <si>
    <t>Squared deviation from mean for up</t>
  </si>
  <si>
    <t>SSW</t>
  </si>
  <si>
    <t>MSW</t>
  </si>
  <si>
    <t>F-stat</t>
  </si>
  <si>
    <t>p-value</t>
  </si>
  <si>
    <t>t-test</t>
  </si>
  <si>
    <t>H_0:Mean return of Up = Mean return of Down</t>
  </si>
  <si>
    <t>H_1:Mean return of Up not equal Mean return of Down</t>
  </si>
  <si>
    <t>Since p&lt;0.05, we reject the null hypothesis.</t>
  </si>
  <si>
    <t xml:space="preserve">This means there is a statistically significant difference between the mean returns of Up and Down days for Apple.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</si>
</sst>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Frequency of 'Apple_Return'</cx:v>
        </cx:txData>
      </cx:tx>
    </cx:title>
    <cx:plotArea>
      <cx:plotAreaRegion>
        <cx:series layoutId="clusteredColumn" uniqueId="{A47E1987-568C-4A6B-A4ED-B94F2C6A29EE}">
          <cx:spPr>
            <a:solidFill>
              <a:srgbClr val="595959"/>
            </a:solidFill>
          </cx:spPr>
          <cx:dataId val="0"/>
          <cx:layoutPr>
            <cx:binning intervalClosed="r">
              <cx:binSize val="0.0040000000000000001"/>
            </cx:binning>
          </cx:layoutPr>
        </cx:series>
      </cx:plotAreaRegion>
      <cx:axis id="0">
        <cx:catScaling gapWidth="0.330000013"/>
        <cx:title>
          <cx:tx>
            <cx:txData>
              <cx:v>Apple_Return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355600</xdr:colOff>
      <xdr:row>30</xdr:row>
      <xdr:rowOff>107950</xdr:rowOff>
    </xdr:from>
    <xdr:to>
      <xdr:col>3</xdr:col>
      <xdr:colOff>1708150</xdr:colOff>
      <xdr:row>44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 descr="Chart type: Histogram. Frequency of 'Apple_Return'&#10;&#10;Description automatically generated">
              <a:extLst>
                <a:ext uri="{FF2B5EF4-FFF2-40B4-BE49-F238E27FC236}">
                  <a16:creationId xmlns:a16="http://schemas.microsoft.com/office/drawing/2014/main" id="{848CEF24-3F26-654D-E838-D55D72117C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1525" y="5822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D13" workbookViewId="0">
      <selection activeCell="M27" sqref="M27"/>
    </sheetView>
  </sheetViews>
  <sheetFormatPr defaultRowHeight="15" x14ac:dyDescent="0.25"/>
  <cols>
    <col min="1" max="1" width="25.28515625" customWidth="1"/>
    <col min="2" max="2" width="23.85546875" customWidth="1"/>
    <col min="3" max="3" width="24.42578125" customWidth="1"/>
    <col min="4" max="4" width="28" customWidth="1"/>
    <col min="5" max="6" width="21.7109375" customWidth="1"/>
    <col min="7" max="7" width="19.5703125" customWidth="1"/>
    <col min="8" max="8" width="20.140625" customWidth="1"/>
    <col min="11" max="11" width="12" bestFit="1" customWidth="1"/>
    <col min="13" max="13" width="21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</v>
      </c>
      <c r="G1" s="1" t="s">
        <v>5</v>
      </c>
      <c r="H1" s="1" t="s">
        <v>6</v>
      </c>
      <c r="I1" t="s">
        <v>9</v>
      </c>
      <c r="J1" t="s">
        <v>7</v>
      </c>
    </row>
    <row r="2" spans="1:13" x14ac:dyDescent="0.25">
      <c r="A2" s="2">
        <v>44929</v>
      </c>
      <c r="B2">
        <v>3801.7168997036802</v>
      </c>
      <c r="C2">
        <v>228.28490956635321</v>
      </c>
      <c r="D2">
        <v>5.87851595359457E-5</v>
      </c>
      <c r="E2">
        <v>1.043140258425623E-2</v>
      </c>
      <c r="F2" t="str">
        <f>IF(E2&gt;0,"Up",IF(E2&lt;0,"Down","Neutral"))</f>
        <v>Up</v>
      </c>
      <c r="G2" t="s">
        <v>7</v>
      </c>
      <c r="H2" t="s">
        <v>8</v>
      </c>
      <c r="I2" cm="1">
        <f t="array" ref="I2">IFERROR(INDEX($E$2:$E$31,SMALL(IF($F$2:$F$31="Down",ROW($E$2:$E$31)-ROW($E$2)+1),ROW(1:1))),"")</f>
        <v>-2.127509447460874E-3</v>
      </c>
      <c r="J2" cm="1">
        <f t="array" ref="J2">IFERROR(INDEX($E$2:$E$31,SMALL(IF($F$2:$F$31="Up",ROW($E$2:$E$31)-ROW($E$2)+1),ROW(1:1))),"")</f>
        <v>1.043140258425623E-2</v>
      </c>
      <c r="K2">
        <f>AVERAGE(I2:I30)</f>
        <v>-3.1748418303878781E-3</v>
      </c>
      <c r="L2">
        <f>COUNTA(I2:I30)</f>
        <v>9</v>
      </c>
      <c r="M2" t="s">
        <v>75</v>
      </c>
    </row>
    <row r="3" spans="1:13" x14ac:dyDescent="0.25">
      <c r="A3" s="2">
        <v>44930</v>
      </c>
      <c r="B3">
        <v>3803.5122767798821</v>
      </c>
      <c r="C3">
        <v>228.80731988313929</v>
      </c>
      <c r="D3">
        <v>4.7225427972863438E-4</v>
      </c>
      <c r="E3">
        <v>2.28841370977384E-3</v>
      </c>
      <c r="F3" t="str">
        <f t="shared" ref="F3:F30" si="0">IF(E3&gt;0,"Up",IF(E3&lt;0,"Down","Neutral"))</f>
        <v>Up</v>
      </c>
      <c r="G3" t="s">
        <v>7</v>
      </c>
      <c r="H3" t="s">
        <v>8</v>
      </c>
      <c r="I3" cm="1">
        <f t="array" ref="I3">IFERROR(INDEX($E$2:$E$31,SMALL(IF($F$2:$F$31="Down",ROW($E$2:$E$31)-ROW($E$2)+1),ROW(2:2))),"")</f>
        <v>-3.1362023005927502E-3</v>
      </c>
      <c r="J3" cm="1">
        <f t="array" ref="J3">IFERROR(INDEX($E$2:$E$31,SMALL(IF($F$2:$F$31="Up",ROW($E$2:$E$31)-ROW($E$2)+1),ROW(2:2))),"")</f>
        <v>2.28841370977384E-3</v>
      </c>
      <c r="K3">
        <f>AVERAGE(J2:J30)</f>
        <v>3.927445240986838E-3</v>
      </c>
      <c r="L3">
        <f>COUNTA(J2:J30)</f>
        <v>20</v>
      </c>
      <c r="M3" t="s">
        <v>76</v>
      </c>
    </row>
    <row r="4" spans="1:13" x14ac:dyDescent="0.25">
      <c r="A4" s="2">
        <v>44931</v>
      </c>
      <c r="B4">
        <v>3807.058336492697</v>
      </c>
      <c r="C4">
        <v>228.3205301484397</v>
      </c>
      <c r="D4">
        <v>9.3231188826825573E-4</v>
      </c>
      <c r="E4">
        <v>-2.127509447460874E-3</v>
      </c>
      <c r="F4" t="str">
        <f t="shared" si="0"/>
        <v>Down</v>
      </c>
      <c r="G4" t="s">
        <v>7</v>
      </c>
      <c r="H4" t="s">
        <v>8</v>
      </c>
      <c r="I4" cm="1">
        <f t="array" ref="I4">IFERROR(INDEX($E$2:$E$31,SMALL(IF($F$2:$F$31="Down",ROW($E$2:$E$31)-ROW($E$2)+1),ROW(3:3))),"")</f>
        <v>-6.1773555166313443E-3</v>
      </c>
      <c r="J4" cm="1">
        <f t="array" ref="J4">IFERROR(INDEX($E$2:$E$31,SMALL(IF($F$2:$F$31="Up",ROW($E$2:$E$31)-ROW($E$2)+1),ROW(3:3))),"")</f>
        <v>5.7952685036863896E-3</v>
      </c>
      <c r="K4">
        <f>AVERAGE(I2:J30)</f>
        <v>1.7232871843533052E-3</v>
      </c>
      <c r="M4" t="s">
        <v>77</v>
      </c>
    </row>
    <row r="5" spans="1:13" x14ac:dyDescent="0.25">
      <c r="A5" s="2">
        <v>44932</v>
      </c>
      <c r="B5">
        <v>3807.0900297432509</v>
      </c>
      <c r="C5">
        <v>229.64370892555391</v>
      </c>
      <c r="D5">
        <v>8.3248660125434526E-6</v>
      </c>
      <c r="E5">
        <v>5.7952685036863896E-3</v>
      </c>
      <c r="F5" t="str">
        <f t="shared" si="0"/>
        <v>Up</v>
      </c>
      <c r="G5" t="s">
        <v>7</v>
      </c>
      <c r="H5" t="s">
        <v>8</v>
      </c>
      <c r="I5" cm="1">
        <f t="array" ref="I5">IFERROR(INDEX($E$2:$E$31,SMALL(IF($F$2:$F$31="Down",ROW($E$2:$E$31)-ROW($E$2)+1),ROW(4:4))),"")</f>
        <v>-3.666291293618174E-3</v>
      </c>
      <c r="J5" cm="1">
        <f t="array" ref="J5">IFERROR(INDEX($E$2:$E$31,SMALL(IF($F$2:$F$31="Up",ROW($E$2:$E$31)-ROW($E$2)+1),ROW(4:4))),"")</f>
        <v>3.4161285683536051E-3</v>
      </c>
      <c r="K5">
        <f>COUNT(I2:I30)*(AVERAGE(I2:I30)-K4)^2 + COUNT(J2:J30)*(AVERAGE(J2:J30)-K4)^2</f>
        <v>3.1309126537789516E-4</v>
      </c>
      <c r="M5" t="s">
        <v>78</v>
      </c>
    </row>
    <row r="6" spans="1:13" x14ac:dyDescent="0.25">
      <c r="A6" s="2">
        <v>44935</v>
      </c>
      <c r="B6">
        <v>3807.121755829352</v>
      </c>
      <c r="C6">
        <v>228.92349979730491</v>
      </c>
      <c r="D6">
        <v>8.3334215512653742E-6</v>
      </c>
      <c r="E6">
        <v>-3.1362023005927502E-3</v>
      </c>
      <c r="F6" t="str">
        <f t="shared" si="0"/>
        <v>Down</v>
      </c>
      <c r="G6" t="s">
        <v>7</v>
      </c>
      <c r="H6" t="s">
        <v>8</v>
      </c>
      <c r="I6" cm="1">
        <f t="array" ref="I6">IFERROR(INDEX($E$2:$E$31,SMALL(IF($F$2:$F$31="Down",ROW($E$2:$E$31)-ROW($E$2)+1),ROW(5:5))),"")</f>
        <v>-4.4990729017296838E-3</v>
      </c>
      <c r="J6" cm="1">
        <f t="array" ref="J6">IFERROR(INDEX($E$2:$E$31,SMALL(IF($F$2:$F$31="Up",ROW($E$2:$E$31)-ROW($E$2)+1),ROW(5:5))),"")</f>
        <v>3.2031872395659189E-3</v>
      </c>
      <c r="K6">
        <f>IF(I2&lt;&gt;"",(I2-AVERAGE(I2:I30))^2,0)</f>
        <v>1.0969051203275567E-6</v>
      </c>
      <c r="M6" t="s">
        <v>80</v>
      </c>
    </row>
    <row r="7" spans="1:13" x14ac:dyDescent="0.25">
      <c r="A7" s="2">
        <v>44936</v>
      </c>
      <c r="B7">
        <v>3810.7801814603672</v>
      </c>
      <c r="C7">
        <v>229.70553190493001</v>
      </c>
      <c r="D7">
        <v>9.6094264004387142E-4</v>
      </c>
      <c r="E7">
        <v>3.4161285683536051E-3</v>
      </c>
      <c r="F7" t="str">
        <f t="shared" si="0"/>
        <v>Up</v>
      </c>
      <c r="G7" t="s">
        <v>7</v>
      </c>
      <c r="H7" t="s">
        <v>8</v>
      </c>
      <c r="I7" cm="1">
        <f t="array" ref="I7">IFERROR(INDEX($E$2:$E$31,SMALL(IF($F$2:$F$31="Down",ROW($E$2:$E$31)-ROW($E$2)+1),ROW(6:6))),"")</f>
        <v>-1.012048655278819E-3</v>
      </c>
      <c r="J7" cm="1">
        <f t="array" ref="J7">IFERROR(INDEX($E$2:$E$31,SMALL(IF($F$2:$F$31="Up",ROW($E$2:$E$31)-ROW($E$2)+1),ROW(6:6))),"")</f>
        <v>5.390217382024387E-3</v>
      </c>
      <c r="K7">
        <f>IF(J2&lt;&gt;"",(J2-AVERAGE(J2:J30))^2,0)</f>
        <v>4.2301461123067844E-5</v>
      </c>
      <c r="M7" t="s">
        <v>81</v>
      </c>
    </row>
    <row r="8" spans="1:13" x14ac:dyDescent="0.25">
      <c r="A8" s="2">
        <v>44937</v>
      </c>
      <c r="B8">
        <v>3812.815050918673</v>
      </c>
      <c r="C8">
        <v>228.28655917021629</v>
      </c>
      <c r="D8">
        <v>5.3397712841207756E-4</v>
      </c>
      <c r="E8">
        <v>-6.1773555166313443E-3</v>
      </c>
      <c r="F8" t="str">
        <f t="shared" si="0"/>
        <v>Down</v>
      </c>
      <c r="G8" t="s">
        <v>7</v>
      </c>
      <c r="H8" t="s">
        <v>8</v>
      </c>
      <c r="I8" cm="1">
        <f t="array" ref="I8">IFERROR(INDEX($E$2:$E$31,SMALL(IF($F$2:$F$31="Down",ROW($E$2:$E$31)-ROW($E$2)+1),ROW(7:7))),"")</f>
        <v>-5.6507905076984546E-3</v>
      </c>
      <c r="J8" cm="1">
        <f t="array" ref="J8">IFERROR(INDEX($E$2:$E$31,SMALL(IF($F$2:$F$31="Up",ROW($E$2:$E$31)-ROW($E$2)+1),ROW(7:7))),"")</f>
        <v>2.8889090084809328E-3</v>
      </c>
      <c r="K8">
        <f>K5/(2-1)</f>
        <v>3.1309126537789516E-4</v>
      </c>
      <c r="M8" t="s">
        <v>79</v>
      </c>
    </row>
    <row r="9" spans="1:13" x14ac:dyDescent="0.25">
      <c r="A9" s="2">
        <v>44938</v>
      </c>
      <c r="B9">
        <v>3812.3761021468031</v>
      </c>
      <c r="C9">
        <v>227.4495941458805</v>
      </c>
      <c r="D9">
        <v>-1.1512459062612559E-4</v>
      </c>
      <c r="E9">
        <v>-3.666291293618174E-3</v>
      </c>
      <c r="F9" t="str">
        <f t="shared" si="0"/>
        <v>Down</v>
      </c>
      <c r="G9" t="s">
        <v>9</v>
      </c>
      <c r="H9" t="s">
        <v>8</v>
      </c>
      <c r="I9" cm="1">
        <f t="array" ref="I9">IFERROR(INDEX($E$2:$E$31,SMALL(IF($F$2:$F$31="Down",ROW($E$2:$E$31)-ROW($E$2)+1),ROW(8:8))),"")</f>
        <v>-7.0955436350816914E-4</v>
      </c>
      <c r="J9" cm="1">
        <f t="array" ref="J9">IFERROR(INDEX($E$2:$E$31,SMALL(IF($F$2:$F$31="Up",ROW($E$2:$E$31)-ROW($E$2)+1),ROW(8:8))),"")</f>
        <v>1.7561122989271369E-3</v>
      </c>
      <c r="K9">
        <f>SUM(K6,K7)</f>
        <v>4.33983662433954E-5</v>
      </c>
      <c r="M9" t="s">
        <v>82</v>
      </c>
    </row>
    <row r="10" spans="1:13" x14ac:dyDescent="0.25">
      <c r="A10" s="2">
        <v>44939</v>
      </c>
      <c r="B10">
        <v>3813.9612222339751</v>
      </c>
      <c r="C10">
        <v>228.17815778349299</v>
      </c>
      <c r="D10">
        <v>4.1578271521514049E-4</v>
      </c>
      <c r="E10">
        <v>3.2031872395659189E-3</v>
      </c>
      <c r="F10" t="str">
        <f t="shared" si="0"/>
        <v>Up</v>
      </c>
      <c r="G10" t="s">
        <v>7</v>
      </c>
      <c r="H10" t="s">
        <v>8</v>
      </c>
      <c r="I10" cm="1">
        <f t="array" ref="I10">IFERROR(INDEX($E$2:$E$31,SMALL(IF($F$2:$F$31="Down",ROW($E$2:$E$31)-ROW($E$2)+1),ROW(9:9))),"")</f>
        <v>-1.594751486972634E-3</v>
      </c>
      <c r="J10" cm="1">
        <f t="array" ref="J10">IFERROR(INDEX($E$2:$E$31,SMALL(IF($F$2:$F$31="Up",ROW($E$2:$E$31)-ROW($E$2)+1),ROW(9:9))),"")</f>
        <v>5.7431468392254992E-4</v>
      </c>
      <c r="K10">
        <f>K9/(L2+L3-2)</f>
        <v>1.6073468979035332E-6</v>
      </c>
      <c r="M10" t="s">
        <v>83</v>
      </c>
    </row>
    <row r="11" spans="1:13" x14ac:dyDescent="0.25">
      <c r="A11" s="2">
        <v>44942</v>
      </c>
      <c r="B11">
        <v>3813.5343868483501</v>
      </c>
      <c r="C11">
        <v>229.40808765577589</v>
      </c>
      <c r="D11">
        <v>-1.1191392905018919E-4</v>
      </c>
      <c r="E11">
        <v>5.390217382024387E-3</v>
      </c>
      <c r="F11" t="str">
        <f t="shared" si="0"/>
        <v>Up</v>
      </c>
      <c r="G11" t="s">
        <v>9</v>
      </c>
      <c r="H11" t="s">
        <v>8</v>
      </c>
      <c r="J11" cm="1">
        <f t="array" ref="J11">IFERROR(INDEX($E$2:$E$31,SMALL(IF($F$2:$F$31="Up",ROW($E$2:$E$31)-ROW($E$2)+1),ROW(10:10))),"")</f>
        <v>3.8580647881314427E-5</v>
      </c>
      <c r="K11">
        <f>K8/K10</f>
        <v>194.7876129205593</v>
      </c>
      <c r="M11" t="s">
        <v>84</v>
      </c>
    </row>
    <row r="12" spans="1:13" x14ac:dyDescent="0.25">
      <c r="A12" s="2">
        <v>44943</v>
      </c>
      <c r="B12">
        <v>3813.10292734121</v>
      </c>
      <c r="C12">
        <v>230.07082674682309</v>
      </c>
      <c r="D12">
        <v>-1.1313901052745209E-4</v>
      </c>
      <c r="E12">
        <v>2.8889090084809328E-3</v>
      </c>
      <c r="F12" t="str">
        <f t="shared" si="0"/>
        <v>Up</v>
      </c>
      <c r="G12" t="s">
        <v>9</v>
      </c>
      <c r="H12" t="s">
        <v>8</v>
      </c>
      <c r="J12" cm="1">
        <f t="array" ref="J12">IFERROR(INDEX($E$2:$E$31,SMALL(IF($F$2:$F$31="Up",ROW($E$2:$E$31)-ROW($E$2)+1),ROW(11:11))),"")</f>
        <v>6.8878054745571404E-3</v>
      </c>
      <c r="K12">
        <f>_xlfn.F.DIST(K11,2,1,27)</f>
        <v>0.9494003335831358</v>
      </c>
    </row>
    <row r="13" spans="1:13" x14ac:dyDescent="0.25">
      <c r="A13" s="2">
        <v>44944</v>
      </c>
      <c r="B13">
        <v>3814.0868518843422</v>
      </c>
      <c r="C13">
        <v>230.4748569552975</v>
      </c>
      <c r="D13">
        <v>2.5803776134059042E-4</v>
      </c>
      <c r="E13">
        <v>1.7561122989271369E-3</v>
      </c>
      <c r="F13" t="str">
        <f t="shared" si="0"/>
        <v>Up</v>
      </c>
      <c r="G13" t="s">
        <v>7</v>
      </c>
      <c r="H13" t="s">
        <v>8</v>
      </c>
      <c r="J13" cm="1">
        <f t="array" ref="J13">IFERROR(INDEX($E$2:$E$31,SMALL(IF($F$2:$F$31="Up",ROW($E$2:$E$31)-ROW($E$2)+1),ROW(12:12))),"")</f>
        <v>3.5392188539808971E-3</v>
      </c>
      <c r="K13" s="4">
        <f>1-_xlfn.F.DIST(K11,2-1,L2+L3-2,TRUE)</f>
        <v>7.2719608112947753E-14</v>
      </c>
      <c r="M13" t="s">
        <v>85</v>
      </c>
    </row>
    <row r="14" spans="1:13" x14ac:dyDescent="0.25">
      <c r="A14" s="2">
        <v>44945</v>
      </c>
      <c r="B14">
        <v>3810.7602913950259</v>
      </c>
      <c r="C14">
        <v>230.60722204992189</v>
      </c>
      <c r="D14">
        <v>-8.7217743551692983E-4</v>
      </c>
      <c r="E14">
        <v>5.7431468392254992E-4</v>
      </c>
      <c r="F14" t="str">
        <f t="shared" si="0"/>
        <v>Up</v>
      </c>
      <c r="G14" t="s">
        <v>9</v>
      </c>
      <c r="H14" t="s">
        <v>8</v>
      </c>
      <c r="J14" cm="1">
        <f t="array" ref="J14">IFERROR(INDEX($E$2:$E$31,SMALL(IF($F$2:$F$31="Up",ROW($E$2:$E$31)-ROW($E$2)+1),ROW(13:13))),"")</f>
        <v>3.8740428403778449E-3</v>
      </c>
    </row>
    <row r="15" spans="1:13" x14ac:dyDescent="0.25">
      <c r="A15" s="2">
        <v>44946</v>
      </c>
      <c r="B15">
        <v>3807.8104557299998</v>
      </c>
      <c r="C15">
        <v>229.56970334625399</v>
      </c>
      <c r="D15">
        <v>-7.7408061369987902E-4</v>
      </c>
      <c r="E15">
        <v>-4.4990729017296838E-3</v>
      </c>
      <c r="F15" t="str">
        <f t="shared" si="0"/>
        <v>Down</v>
      </c>
      <c r="G15" t="s">
        <v>9</v>
      </c>
      <c r="H15" t="s">
        <v>8</v>
      </c>
      <c r="J15" cm="1">
        <f t="array" ref="J15">IFERROR(INDEX($E$2:$E$31,SMALL(IF($F$2:$F$31="Up",ROW($E$2:$E$31)-ROW($E$2)+1),ROW(14:14))),"")</f>
        <v>5.0096606456961901E-4</v>
      </c>
      <c r="K15">
        <f>_xlfn.T.TEST(I2:I30, J2:J30, 2, 3)</f>
        <v>9.9545080477511603E-8</v>
      </c>
      <c r="L15" t="s">
        <v>86</v>
      </c>
    </row>
    <row r="16" spans="1:13" x14ac:dyDescent="0.25">
      <c r="A16" s="2">
        <v>44949</v>
      </c>
      <c r="B16">
        <v>3807.1858806715181</v>
      </c>
      <c r="C16">
        <v>229.33736763668961</v>
      </c>
      <c r="D16">
        <v>-1.6402472385201869E-4</v>
      </c>
      <c r="E16">
        <v>-1.012048655278819E-3</v>
      </c>
      <c r="F16" t="str">
        <f t="shared" si="0"/>
        <v>Down</v>
      </c>
      <c r="G16" t="s">
        <v>9</v>
      </c>
      <c r="H16" t="s">
        <v>8</v>
      </c>
      <c r="J16" cm="1">
        <f t="array" ref="J16">IFERROR(INDEX($E$2:$E$31,SMALL(IF($F$2:$F$31="Up",ROW($E$2:$E$31)-ROW($E$2)+1),ROW(15:15))),"")</f>
        <v>4.6034907696319571E-3</v>
      </c>
    </row>
    <row r="17" spans="1:14" x14ac:dyDescent="0.25">
      <c r="A17" s="2">
        <v>44950</v>
      </c>
      <c r="B17">
        <v>3805.660218430849</v>
      </c>
      <c r="C17">
        <v>229.3462156209165</v>
      </c>
      <c r="D17">
        <v>-4.0073227010384288E-4</v>
      </c>
      <c r="E17">
        <v>3.8580647881314427E-5</v>
      </c>
      <c r="F17" t="str">
        <f t="shared" si="0"/>
        <v>Up</v>
      </c>
      <c r="G17" t="s">
        <v>9</v>
      </c>
      <c r="H17" t="s">
        <v>8</v>
      </c>
      <c r="J17" cm="1">
        <f t="array" ref="J17">IFERROR(INDEX($E$2:$E$31,SMALL(IF($F$2:$F$31="Up",ROW($E$2:$E$31)-ROW($E$2)+1),ROW(16:16))),"")</f>
        <v>6.5387205438445228E-3</v>
      </c>
    </row>
    <row r="18" spans="1:14" x14ac:dyDescent="0.25">
      <c r="A18" s="2">
        <v>44951</v>
      </c>
      <c r="B18">
        <v>3806.7887130960398</v>
      </c>
      <c r="C18">
        <v>230.92590774043919</v>
      </c>
      <c r="D18">
        <v>2.965305887596692E-4</v>
      </c>
      <c r="E18">
        <v>6.8878054745571404E-3</v>
      </c>
      <c r="F18" t="str">
        <f t="shared" si="0"/>
        <v>Up</v>
      </c>
      <c r="G18" t="s">
        <v>7</v>
      </c>
      <c r="H18" t="s">
        <v>8</v>
      </c>
      <c r="J18" cm="1">
        <f t="array" ref="J18">IFERROR(INDEX($E$2:$E$31,SMALL(IF($F$2:$F$31="Up",ROW($E$2:$E$31)-ROW($E$2)+1),ROW(17:17))),"")</f>
        <v>6.1819247070031844E-3</v>
      </c>
    </row>
    <row r="19" spans="1:14" x14ac:dyDescent="0.25">
      <c r="A19" s="2">
        <v>44952</v>
      </c>
      <c r="B19">
        <v>3805.4726649449981</v>
      </c>
      <c r="C19">
        <v>231.7432050669868</v>
      </c>
      <c r="D19">
        <v>-3.4571084718060252E-4</v>
      </c>
      <c r="E19">
        <v>3.5392188539808971E-3</v>
      </c>
      <c r="F19" t="str">
        <f t="shared" si="0"/>
        <v>Up</v>
      </c>
      <c r="G19" t="s">
        <v>9</v>
      </c>
      <c r="H19" t="s">
        <v>8</v>
      </c>
      <c r="J19" cm="1">
        <f t="array" ref="J19">IFERROR(INDEX($E$2:$E$31,SMALL(IF($F$2:$F$31="Up",ROW($E$2:$E$31)-ROW($E$2)+1),ROW(18:18))),"")</f>
        <v>9.1862819944288354E-4</v>
      </c>
    </row>
    <row r="20" spans="1:14" x14ac:dyDescent="0.25">
      <c r="A20" s="2">
        <v>44953</v>
      </c>
      <c r="B20">
        <v>3803.148057542327</v>
      </c>
      <c r="C20">
        <v>230.43367276357071</v>
      </c>
      <c r="D20">
        <v>-6.1085904625834964E-4</v>
      </c>
      <c r="E20">
        <v>-5.6507905076984546E-3</v>
      </c>
      <c r="F20" t="str">
        <f t="shared" si="0"/>
        <v>Down</v>
      </c>
      <c r="G20" t="s">
        <v>9</v>
      </c>
      <c r="H20" t="s">
        <v>8</v>
      </c>
      <c r="J20" cm="1">
        <f t="array" ref="J20">IFERROR(INDEX($E$2:$E$31,SMALL(IF($F$2:$F$31="Up",ROW($E$2:$E$31)-ROW($E$2)+1),ROW(19:19))),"")</f>
        <v>3.4754157778273949E-3</v>
      </c>
      <c r="N20" t="s">
        <v>87</v>
      </c>
    </row>
    <row r="21" spans="1:14" x14ac:dyDescent="0.25">
      <c r="A21" s="2">
        <v>44956</v>
      </c>
      <c r="B21">
        <v>3806.57935508017</v>
      </c>
      <c r="C21">
        <v>231.3263826837223</v>
      </c>
      <c r="D21">
        <v>9.0222559993113904E-4</v>
      </c>
      <c r="E21">
        <v>3.8740428403778449E-3</v>
      </c>
      <c r="F21" t="str">
        <f t="shared" si="0"/>
        <v>Up</v>
      </c>
      <c r="G21" t="s">
        <v>7</v>
      </c>
      <c r="H21" t="s">
        <v>8</v>
      </c>
      <c r="J21" cm="1">
        <f t="array" ref="J21">IFERROR(INDEX($E$2:$E$31,SMALL(IF($F$2:$F$31="Up",ROW($E$2:$E$31)-ROW($E$2)+1),ROW(20:20))),"")</f>
        <v>6.2461569616290014E-3</v>
      </c>
    </row>
    <row r="22" spans="1:14" x14ac:dyDescent="0.25">
      <c r="A22" s="2">
        <v>44957</v>
      </c>
      <c r="B22">
        <v>3806.6278024791968</v>
      </c>
      <c r="C22">
        <v>231.44226935128651</v>
      </c>
      <c r="D22">
        <v>1.2727279404378681E-5</v>
      </c>
      <c r="E22">
        <v>5.0096606456961901E-4</v>
      </c>
      <c r="F22" t="str">
        <f t="shared" si="0"/>
        <v>Up</v>
      </c>
      <c r="G22" t="s">
        <v>7</v>
      </c>
      <c r="H22" t="s">
        <v>8</v>
      </c>
      <c r="N22" t="s">
        <v>88</v>
      </c>
    </row>
    <row r="23" spans="1:14" x14ac:dyDescent="0.25">
      <c r="A23" s="2">
        <v>44958</v>
      </c>
      <c r="B23">
        <v>3807.2628588885732</v>
      </c>
      <c r="C23">
        <v>231.27804847916809</v>
      </c>
      <c r="D23">
        <v>1.6682913127530341E-4</v>
      </c>
      <c r="E23">
        <v>-7.0955436350816914E-4</v>
      </c>
      <c r="F23" t="str">
        <f t="shared" si="0"/>
        <v>Down</v>
      </c>
      <c r="G23" t="s">
        <v>7</v>
      </c>
      <c r="H23" t="s">
        <v>8</v>
      </c>
    </row>
    <row r="24" spans="1:14" x14ac:dyDescent="0.25">
      <c r="A24" s="2">
        <v>44959</v>
      </c>
      <c r="B24">
        <v>3804.9133625161462</v>
      </c>
      <c r="C24">
        <v>232.34273484056041</v>
      </c>
      <c r="D24">
        <v>-6.1710905170142549E-4</v>
      </c>
      <c r="E24">
        <v>4.6034907696319571E-3</v>
      </c>
      <c r="F24" t="str">
        <f t="shared" si="0"/>
        <v>Up</v>
      </c>
      <c r="G24" t="s">
        <v>9</v>
      </c>
      <c r="H24" t="s">
        <v>8</v>
      </c>
    </row>
    <row r="25" spans="1:14" x14ac:dyDescent="0.25">
      <c r="A25" s="2">
        <v>44960</v>
      </c>
      <c r="B25">
        <v>3804.324597067096</v>
      </c>
      <c r="C25">
        <v>233.86195905407541</v>
      </c>
      <c r="D25">
        <v>-1.547382010982368E-4</v>
      </c>
      <c r="E25">
        <v>6.5387205438445228E-3</v>
      </c>
      <c r="F25" t="str">
        <f t="shared" si="0"/>
        <v>Up</v>
      </c>
      <c r="G25" t="s">
        <v>9</v>
      </c>
      <c r="H25" t="s">
        <v>8</v>
      </c>
      <c r="N25" t="s">
        <v>89</v>
      </c>
    </row>
    <row r="26" spans="1:14" x14ac:dyDescent="0.25">
      <c r="A26" s="2">
        <v>44963</v>
      </c>
      <c r="B26">
        <v>3805.0464422465152</v>
      </c>
      <c r="C26">
        <v>235.30767607678001</v>
      </c>
      <c r="D26">
        <v>1.897433200037657E-4</v>
      </c>
      <c r="E26">
        <v>6.1819247070031844E-3</v>
      </c>
      <c r="F26" t="str">
        <f t="shared" si="0"/>
        <v>Up</v>
      </c>
      <c r="G26" t="s">
        <v>7</v>
      </c>
      <c r="H26" t="s">
        <v>8</v>
      </c>
    </row>
    <row r="27" spans="1:14" x14ac:dyDescent="0.25">
      <c r="A27" s="2">
        <v>44964</v>
      </c>
      <c r="B27">
        <v>3803.2444550916712</v>
      </c>
      <c r="C27">
        <v>234.9324188104604</v>
      </c>
      <c r="D27">
        <v>-4.7357822885873979E-4</v>
      </c>
      <c r="E27">
        <v>-1.594751486972634E-3</v>
      </c>
      <c r="F27" t="str">
        <f t="shared" si="0"/>
        <v>Down</v>
      </c>
      <c r="G27" t="s">
        <v>9</v>
      </c>
      <c r="H27" t="s">
        <v>8</v>
      </c>
    </row>
    <row r="28" spans="1:14" x14ac:dyDescent="0.25">
      <c r="A28" s="2">
        <v>44965</v>
      </c>
      <c r="B28">
        <v>3804.4958511283621</v>
      </c>
      <c r="C28">
        <v>235.14823435534299</v>
      </c>
      <c r="D28">
        <v>3.2903381611881782E-4</v>
      </c>
      <c r="E28">
        <v>9.1862819944288354E-4</v>
      </c>
      <c r="F28" t="str">
        <f t="shared" si="0"/>
        <v>Up</v>
      </c>
      <c r="G28" t="s">
        <v>7</v>
      </c>
      <c r="H28" t="s">
        <v>8</v>
      </c>
      <c r="N28" t="s">
        <v>90</v>
      </c>
    </row>
    <row r="29" spans="1:14" x14ac:dyDescent="0.25">
      <c r="A29" s="2">
        <v>44966</v>
      </c>
      <c r="B29">
        <v>3803.7945737485238</v>
      </c>
      <c r="C29">
        <v>235.96547223914979</v>
      </c>
      <c r="D29">
        <v>-1.8432859629213821E-4</v>
      </c>
      <c r="E29">
        <v>3.4754157778273949E-3</v>
      </c>
      <c r="F29" t="str">
        <f t="shared" si="0"/>
        <v>Up</v>
      </c>
      <c r="G29" t="s">
        <v>9</v>
      </c>
      <c r="H29" t="s">
        <v>8</v>
      </c>
    </row>
    <row r="30" spans="1:14" x14ac:dyDescent="0.25">
      <c r="A30" s="2">
        <v>44967</v>
      </c>
      <c r="B30">
        <v>3803.7111862489378</v>
      </c>
      <c r="C30">
        <v>237.43934961628051</v>
      </c>
      <c r="D30">
        <v>-2.1922187954603881E-5</v>
      </c>
      <c r="E30">
        <v>6.2461569616290014E-3</v>
      </c>
      <c r="F30" t="str">
        <f t="shared" si="0"/>
        <v>Up</v>
      </c>
      <c r="G30" t="s">
        <v>9</v>
      </c>
      <c r="H30" t="s">
        <v>8</v>
      </c>
    </row>
    <row r="31" spans="1:14" x14ac:dyDescent="0.25">
      <c r="G31">
        <f>AVERAGEIF(G2:G30,"Up",E2:E30)</f>
        <v>2.2068839041547105E-3</v>
      </c>
      <c r="H31" t="s">
        <v>63</v>
      </c>
    </row>
    <row r="32" spans="1:14" x14ac:dyDescent="0.25">
      <c r="G32">
        <f>AVERAGEIF(G2:G30, "Down", E2:E30)</f>
        <v>1.2051478417089423E-3</v>
      </c>
      <c r="H32" t="s">
        <v>64</v>
      </c>
    </row>
    <row r="33" spans="7:9" x14ac:dyDescent="0.25">
      <c r="G33" cm="1">
        <f t="array" ref="G33">_xlfn.VAR.S(IF(G2:G30="Up", E2:E30))</f>
        <v>1.8170122781157282E-5</v>
      </c>
      <c r="H33" t="s">
        <v>65</v>
      </c>
    </row>
    <row r="34" spans="7:9" x14ac:dyDescent="0.25">
      <c r="G34" cm="1">
        <f t="array" ref="G34">_xlfn.VAR.S(IF(G2:G30="Down", E2:E30))</f>
        <v>1.6472810640429214E-5</v>
      </c>
      <c r="H34" t="s">
        <v>66</v>
      </c>
    </row>
    <row r="35" spans="7:9" x14ac:dyDescent="0.25">
      <c r="G35">
        <f>COUNTIF(G2:G30,"Up")</f>
        <v>15</v>
      </c>
      <c r="H35" t="s">
        <v>67</v>
      </c>
    </row>
    <row r="36" spans="7:9" x14ac:dyDescent="0.25">
      <c r="G36">
        <f>COUNTIF(G2:G30,"Down")</f>
        <v>14</v>
      </c>
      <c r="H36" t="s">
        <v>68</v>
      </c>
    </row>
    <row r="37" spans="7:9" x14ac:dyDescent="0.25">
      <c r="G37">
        <f>(G31-G32)/SQRT(G33/G35+G34/G36)</f>
        <v>0.64824443639100071</v>
      </c>
      <c r="H37" t="s">
        <v>69</v>
      </c>
    </row>
    <row r="38" spans="7:9" x14ac:dyDescent="0.25">
      <c r="G38">
        <f>(G33/G35+G34/G36)^2/((G33^2)/(G35^2*(G35-1))+(G34^2)/(G36^2*(G36-1)))</f>
        <v>26.986318476367586</v>
      </c>
      <c r="H38" t="s">
        <v>70</v>
      </c>
    </row>
    <row r="39" spans="7:9" x14ac:dyDescent="0.25">
      <c r="G39">
        <f>_xlfn.T.DIST.RT(G37,G38)</f>
        <v>0.26125558286774525</v>
      </c>
      <c r="H39" t="s">
        <v>71</v>
      </c>
      <c r="I39" t="s">
        <v>72</v>
      </c>
    </row>
    <row r="40" spans="7:9" x14ac:dyDescent="0.25">
      <c r="G40" t="s">
        <v>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topLeftCell="A17" workbookViewId="0"/>
  </sheetViews>
  <sheetFormatPr defaultRowHeight="15" x14ac:dyDescent="0.25"/>
  <sheetData>
    <row r="1" spans="1:1" x14ac:dyDescent="0.25">
      <c r="A1" s="3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7" spans="1:1" x14ac:dyDescent="0.25">
      <c r="A7" s="3" t="s">
        <v>14</v>
      </c>
    </row>
    <row r="8" spans="1:1" x14ac:dyDescent="0.25">
      <c r="A8" s="3" t="s">
        <v>15</v>
      </c>
    </row>
    <row r="10" spans="1:1" x14ac:dyDescent="0.25">
      <c r="A10" s="3" t="s">
        <v>16</v>
      </c>
    </row>
    <row r="11" spans="1:1" x14ac:dyDescent="0.25">
      <c r="A11" s="3" t="s">
        <v>17</v>
      </c>
    </row>
    <row r="12" spans="1:1" x14ac:dyDescent="0.25">
      <c r="A12" s="3" t="s">
        <v>18</v>
      </c>
    </row>
    <row r="14" spans="1:1" x14ac:dyDescent="0.25">
      <c r="A14" s="3" t="s">
        <v>19</v>
      </c>
    </row>
    <row r="15" spans="1:1" x14ac:dyDescent="0.25">
      <c r="A15" s="3" t="s">
        <v>20</v>
      </c>
    </row>
    <row r="16" spans="1:1" x14ac:dyDescent="0.25">
      <c r="A16" s="3" t="s">
        <v>21</v>
      </c>
    </row>
    <row r="17" spans="1:1" x14ac:dyDescent="0.25">
      <c r="A17" s="3" t="s">
        <v>22</v>
      </c>
    </row>
    <row r="18" spans="1:1" x14ac:dyDescent="0.25">
      <c r="A18" s="3" t="s">
        <v>23</v>
      </c>
    </row>
    <row r="19" spans="1:1" x14ac:dyDescent="0.25">
      <c r="A19" s="3" t="s">
        <v>24</v>
      </c>
    </row>
    <row r="21" spans="1:1" x14ac:dyDescent="0.25">
      <c r="A21" s="3" t="s">
        <v>25</v>
      </c>
    </row>
    <row r="22" spans="1:1" x14ac:dyDescent="0.25">
      <c r="A22" t="s">
        <v>26</v>
      </c>
    </row>
    <row r="23" spans="1:1" x14ac:dyDescent="0.25">
      <c r="A23" s="3" t="s">
        <v>27</v>
      </c>
    </row>
    <row r="24" spans="1:1" x14ac:dyDescent="0.25">
      <c r="A24" t="s">
        <v>28</v>
      </c>
    </row>
    <row r="26" spans="1:1" x14ac:dyDescent="0.25">
      <c r="A26" s="3" t="s">
        <v>29</v>
      </c>
    </row>
    <row r="27" spans="1:1" x14ac:dyDescent="0.25">
      <c r="A27" s="3" t="s">
        <v>30</v>
      </c>
    </row>
    <row r="28" spans="1:1" x14ac:dyDescent="0.25">
      <c r="A28" s="3" t="s">
        <v>31</v>
      </c>
    </row>
    <row r="30" spans="1:1" x14ac:dyDescent="0.25">
      <c r="A30" s="3" t="s">
        <v>32</v>
      </c>
    </row>
    <row r="31" spans="1:1" x14ac:dyDescent="0.25">
      <c r="A31" t="s">
        <v>33</v>
      </c>
    </row>
    <row r="33" spans="1:1" x14ac:dyDescent="0.25">
      <c r="A33" s="3" t="s">
        <v>34</v>
      </c>
    </row>
    <row r="34" spans="1:1" x14ac:dyDescent="0.25">
      <c r="A34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topLeftCell="A15" workbookViewId="0">
      <selection activeCell="A20" sqref="A20:H29"/>
    </sheetView>
  </sheetViews>
  <sheetFormatPr defaultRowHeight="15" x14ac:dyDescent="0.25"/>
  <sheetData>
    <row r="1" spans="1:1" x14ac:dyDescent="0.25">
      <c r="A1" t="s">
        <v>36</v>
      </c>
    </row>
    <row r="3" spans="1:1" x14ac:dyDescent="0.25">
      <c r="A3" s="3" t="s">
        <v>37</v>
      </c>
    </row>
    <row r="4" spans="1:1" x14ac:dyDescent="0.25">
      <c r="A4" s="3" t="s">
        <v>38</v>
      </c>
    </row>
    <row r="5" spans="1:1" x14ac:dyDescent="0.25">
      <c r="A5" s="3" t="s">
        <v>39</v>
      </c>
    </row>
    <row r="6" spans="1:1" x14ac:dyDescent="0.25">
      <c r="A6" s="3" t="s">
        <v>40</v>
      </c>
    </row>
    <row r="7" spans="1:1" x14ac:dyDescent="0.25">
      <c r="A7" s="3" t="s">
        <v>41</v>
      </c>
    </row>
    <row r="8" spans="1:1" x14ac:dyDescent="0.25">
      <c r="A8" s="3" t="s">
        <v>42</v>
      </c>
    </row>
    <row r="9" spans="1:1" x14ac:dyDescent="0.25">
      <c r="A9" s="3" t="s">
        <v>43</v>
      </c>
    </row>
    <row r="10" spans="1:1" x14ac:dyDescent="0.25">
      <c r="A10" s="3" t="s">
        <v>44</v>
      </c>
    </row>
    <row r="11" spans="1:1" x14ac:dyDescent="0.25">
      <c r="A11" t="s">
        <v>45</v>
      </c>
    </row>
    <row r="12" spans="1:1" x14ac:dyDescent="0.25">
      <c r="A12" t="s">
        <v>46</v>
      </c>
    </row>
    <row r="13" spans="1:1" x14ac:dyDescent="0.25">
      <c r="A13" s="3" t="s">
        <v>47</v>
      </c>
    </row>
    <row r="14" spans="1:1" x14ac:dyDescent="0.25">
      <c r="A14" t="s">
        <v>48</v>
      </c>
    </row>
    <row r="15" spans="1:1" x14ac:dyDescent="0.25">
      <c r="A15" s="3" t="s">
        <v>49</v>
      </c>
    </row>
    <row r="16" spans="1:1" x14ac:dyDescent="0.25">
      <c r="A16" t="s">
        <v>50</v>
      </c>
    </row>
    <row r="17" spans="1:1" x14ac:dyDescent="0.25">
      <c r="A17" s="3" t="s">
        <v>51</v>
      </c>
    </row>
    <row r="18" spans="1:1" x14ac:dyDescent="0.25">
      <c r="A18" t="s">
        <v>52</v>
      </c>
    </row>
    <row r="20" spans="1:1" x14ac:dyDescent="0.25">
      <c r="A20" s="3" t="s">
        <v>53</v>
      </c>
    </row>
    <row r="21" spans="1:1" x14ac:dyDescent="0.25">
      <c r="A21" s="3" t="s">
        <v>54</v>
      </c>
    </row>
    <row r="22" spans="1:1" x14ac:dyDescent="0.25">
      <c r="A22" s="3" t="s">
        <v>55</v>
      </c>
    </row>
    <row r="23" spans="1:1" x14ac:dyDescent="0.25">
      <c r="A23" s="3" t="s">
        <v>56</v>
      </c>
    </row>
    <row r="24" spans="1:1" x14ac:dyDescent="0.25">
      <c r="A24" t="s">
        <v>57</v>
      </c>
    </row>
    <row r="25" spans="1:1" x14ac:dyDescent="0.25">
      <c r="A25" s="3" t="s">
        <v>58</v>
      </c>
    </row>
    <row r="26" spans="1:1" x14ac:dyDescent="0.25">
      <c r="A26" t="s">
        <v>59</v>
      </c>
    </row>
    <row r="27" spans="1:1" x14ac:dyDescent="0.25">
      <c r="A27" s="3" t="s">
        <v>60</v>
      </c>
    </row>
    <row r="28" spans="1:1" x14ac:dyDescent="0.25">
      <c r="A28" s="3" t="s">
        <v>61</v>
      </c>
    </row>
    <row r="29" spans="1:1" x14ac:dyDescent="0.25">
      <c r="A29" s="3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Instructions</vt:lpstr>
      <vt:lpstr>TTest_ANOVA_Formulas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919052051872</cp:lastModifiedBy>
  <dcterms:created xsi:type="dcterms:W3CDTF">2025-11-11T15:39:20Z</dcterms:created>
  <dcterms:modified xsi:type="dcterms:W3CDTF">2025-11-11T17:10:18Z</dcterms:modified>
</cp:coreProperties>
</file>